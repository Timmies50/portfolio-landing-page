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s" sheetId="2" state="visible" r:id="rId2"/>
    <sheet xmlns:r="http://schemas.openxmlformats.org/officeDocument/2006/relationships" name="Output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3A93"/>
      <sz val="12"/>
    </font>
    <font>
      <i val="1"/>
      <color rgb="00334155"/>
    </font>
    <font>
      <b val="1"/>
      <color rgb="00FFFFFF"/>
    </font>
    <font>
      <b val="1"/>
      <color rgb="001F3A93"/>
      <sz val="14"/>
    </font>
    <font>
      <b val="1"/>
      <color rgb="001F3A93"/>
    </font>
  </fonts>
  <fills count="7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334155"/>
      </patternFill>
    </fill>
    <fill>
      <patternFill patternType="solid">
        <fgColor rgb="00E8FBFF"/>
      </patternFill>
    </fill>
    <fill>
      <patternFill patternType="solid">
        <fgColor rgb="00EAF3FF"/>
      </patternFill>
    </fill>
    <fill>
      <patternFill patternType="solid">
        <fgColor rgb="0000D9FF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6" fillId="6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3" fontId="5" fillId="4" borderId="0" applyAlignment="1" pivotButton="0" quotePrefix="0" xfId="0">
      <alignment vertical="center"/>
    </xf>
    <xf numFmtId="3" fontId="6" fillId="5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ustomers" displayName="Customers" ref="A5:C10" headerRowCount="1">
  <autoFilter ref="A5:C10"/>
  <tableColumns count="3">
    <tableColumn id="1" name="Customer ID"/>
    <tableColumn id="2" name="Customer Name"/>
    <tableColumn id="3" name="City"/>
  </tableColumns>
  <tableStyleInfo name="TableStyleMedium2" showRowStripes="1"/>
</table>
</file>

<file path=xl/tables/table2.xml><?xml version="1.0" encoding="utf-8"?>
<table xmlns="http://schemas.openxmlformats.org/spreadsheetml/2006/main" id="2" name="Orders" displayName="Orders" ref="E5:H10" headerRowCount="1">
  <autoFilter ref="E5:H10"/>
  <tableColumns count="4">
    <tableColumn id="5" name="Order ID"/>
    <tableColumn id="6" name="Customer ID"/>
    <tableColumn id="7" name="Product"/>
    <tableColumn id="8" name="Total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18" customWidth="1" min="8" max="8"/>
    <col width="22" customWidth="1" min="9" max="9"/>
    <col width="16" customWidth="1" min="10" max="10"/>
  </cols>
  <sheetData>
    <row r="1">
      <c r="A1" s="1" t="inlineStr">
        <is>
          <t>SQL Projects Workbook</t>
        </is>
      </c>
    </row>
    <row r="2">
      <c r="A2" s="2" t="inlineStr">
        <is>
          <t>Inputs</t>
        </is>
      </c>
      <c r="B2" s="3" t="n">
        <v>0</v>
      </c>
      <c r="C2" s="4" t="inlineStr">
        <is>
          <t>Minimum order amount scenario</t>
        </is>
      </c>
    </row>
    <row r="3">
      <c r="A3" s="4" t="inlineStr">
        <is>
          <t>Change the value in B2 to show only orders at or above that amount.</t>
        </is>
      </c>
    </row>
    <row r="4"/>
    <row r="5">
      <c r="A5" s="5" t="inlineStr">
        <is>
          <t>Customer ID</t>
        </is>
      </c>
      <c r="B5" s="5" t="inlineStr">
        <is>
          <t>Customer Name</t>
        </is>
      </c>
      <c r="C5" s="5" t="inlineStr">
        <is>
          <t>City</t>
        </is>
      </c>
      <c r="E5" s="5" t="inlineStr">
        <is>
          <t>Order ID</t>
        </is>
      </c>
      <c r="F5" s="5" t="inlineStr">
        <is>
          <t>Customer ID</t>
        </is>
      </c>
      <c r="G5" s="5" t="inlineStr">
        <is>
          <t>Product</t>
        </is>
      </c>
      <c r="H5" s="5" t="inlineStr">
        <is>
          <t>Total Amount</t>
        </is>
      </c>
    </row>
    <row r="6">
      <c r="A6" s="6" t="n">
        <v>101</v>
      </c>
      <c r="B6" s="6" t="inlineStr">
        <is>
          <t>Ada</t>
        </is>
      </c>
      <c r="C6" s="6" t="inlineStr">
        <is>
          <t>Lagos</t>
        </is>
      </c>
      <c r="E6" s="6" t="n">
        <v>1001</v>
      </c>
      <c r="F6" s="6" t="n">
        <v>101</v>
      </c>
      <c r="G6" s="6" t="inlineStr">
        <is>
          <t>Laptop</t>
        </is>
      </c>
      <c r="H6" s="7" t="n">
        <v>450000</v>
      </c>
    </row>
    <row r="7">
      <c r="A7" s="6" t="n">
        <v>102</v>
      </c>
      <c r="B7" s="6" t="inlineStr">
        <is>
          <t>John</t>
        </is>
      </c>
      <c r="C7" s="6" t="inlineStr">
        <is>
          <t>Abuja</t>
        </is>
      </c>
      <c r="E7" s="6" t="n">
        <v>1002</v>
      </c>
      <c r="F7" s="6" t="n">
        <v>102</v>
      </c>
      <c r="G7" s="6" t="inlineStr">
        <is>
          <t>Phone</t>
        </is>
      </c>
      <c r="H7" s="7" t="n">
        <v>180000</v>
      </c>
    </row>
    <row r="8">
      <c r="A8" s="6" t="n">
        <v>103</v>
      </c>
      <c r="B8" s="6" t="inlineStr">
        <is>
          <t>Mercy</t>
        </is>
      </c>
      <c r="C8" s="6" t="inlineStr">
        <is>
          <t>Owerri</t>
        </is>
      </c>
      <c r="E8" s="6" t="n">
        <v>1003</v>
      </c>
      <c r="F8" s="6" t="n">
        <v>101</v>
      </c>
      <c r="G8" s="6" t="inlineStr">
        <is>
          <t>Monitor</t>
        </is>
      </c>
      <c r="H8" s="7" t="n">
        <v>150000</v>
      </c>
    </row>
    <row r="9">
      <c r="A9" s="6" t="n">
        <v>104</v>
      </c>
      <c r="B9" s="6" t="inlineStr">
        <is>
          <t>David</t>
        </is>
      </c>
      <c r="C9" s="6" t="inlineStr">
        <is>
          <t>Enugu</t>
        </is>
      </c>
      <c r="E9" s="6" t="n">
        <v>1004</v>
      </c>
      <c r="F9" s="6" t="n">
        <v>105</v>
      </c>
      <c r="G9" s="6" t="inlineStr">
        <is>
          <t>Tablet</t>
        </is>
      </c>
      <c r="H9" s="7" t="n">
        <v>120000</v>
      </c>
    </row>
    <row r="10">
      <c r="A10" s="6" t="n">
        <v>105</v>
      </c>
      <c r="B10" s="6" t="inlineStr">
        <is>
          <t>Grace</t>
        </is>
      </c>
      <c r="C10" s="6" t="inlineStr">
        <is>
          <t>Lagos</t>
        </is>
      </c>
      <c r="E10" s="6" t="n">
        <v>1005</v>
      </c>
      <c r="F10" s="6" t="n">
        <v>103</v>
      </c>
      <c r="G10" s="6" t="inlineStr">
        <is>
          <t>Laptop</t>
        </is>
      </c>
      <c r="H10" s="7" t="n">
        <v>450000</v>
      </c>
    </row>
  </sheetData>
  <mergeCells count="2">
    <mergeCell ref="A3:F3"/>
    <mergeCell ref="A1:F1"/>
  </mergeCells>
  <dataValidations count="1">
    <dataValidation sqref="B2" showDropDown="0" showInputMessage="0" showErrorMessage="0" allowBlank="0" errorTitle="Invalid scenario value" error="Enter a number equal to or greater than zero." promptTitle="Scenario control" prompt="Use 0 for all orders, or enter a higher minimum order amount." type="decimal" operator="greaterThanOrEqual">
      <formula1>0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18" customWidth="1" min="8" max="8"/>
    <col width="22" customWidth="1" min="9" max="9"/>
    <col width="16" customWidth="1" min="10" max="10"/>
  </cols>
  <sheetData>
    <row r="1">
      <c r="A1" s="1" t="inlineStr">
        <is>
          <t>Calculation Layer</t>
        </is>
      </c>
    </row>
    <row r="2"/>
    <row r="3">
      <c r="A3" s="8" t="inlineStr">
        <is>
          <t>Order ID</t>
        </is>
      </c>
      <c r="B3" s="8" t="inlineStr">
        <is>
          <t>Customer ID</t>
        </is>
      </c>
      <c r="C3" s="8" t="inlineStr">
        <is>
          <t>Product</t>
        </is>
      </c>
      <c r="D3" s="8" t="inlineStr">
        <is>
          <t>Order Amount</t>
        </is>
      </c>
      <c r="E3" s="8" t="inlineStr">
        <is>
          <t>Customer Name</t>
        </is>
      </c>
      <c r="F3" s="8" t="inlineStr">
        <is>
          <t>City</t>
        </is>
      </c>
      <c r="G3" s="8" t="inlineStr">
        <is>
          <t>Order Key</t>
        </is>
      </c>
      <c r="H3" s="8" t="inlineStr">
        <is>
          <t>Scenario</t>
        </is>
      </c>
      <c r="I3" s="8" t="inlineStr">
        <is>
          <t>First Customer Order</t>
        </is>
      </c>
      <c r="J3" s="8" t="inlineStr">
        <is>
          <t>Display Order</t>
        </is>
      </c>
    </row>
    <row r="4">
      <c r="A4" s="9">
        <f>Inputs!E6</f>
        <v/>
      </c>
      <c r="B4" s="9">
        <f>Inputs!F6</f>
        <v/>
      </c>
      <c r="C4" s="9">
        <f>Inputs!G6</f>
        <v/>
      </c>
      <c r="D4" s="10">
        <f>Inputs!H6</f>
        <v/>
      </c>
      <c r="E4" s="9">
        <f>IFERROR(XLOOKUP(B4,Inputs!$A$6:$A$10,Inputs!$B$6:$B$10,""),"")</f>
        <v/>
      </c>
      <c r="F4" s="9">
        <f>IFERROR(XLOOKUP(B4,Inputs!$A$6:$A$10,Inputs!$C$6:$C$10,""),"")</f>
        <v/>
      </c>
      <c r="G4" s="9">
        <f>IFERROR(A4&amp;"-"&amp;B4,"")</f>
        <v/>
      </c>
      <c r="H4" s="9">
        <f>IF(D4&gt;=Inputs!$B$2,"Include","Exclude")</f>
        <v/>
      </c>
      <c r="I4" s="9">
        <f>IF(COUNTIFS($B$4:B4,B4)=1,"Yes","No")</f>
        <v/>
      </c>
      <c r="J4" s="9">
        <f>IF(H4="Include",COUNTIFS($H$4:H4,"Include"),"")</f>
        <v/>
      </c>
    </row>
    <row r="5">
      <c r="A5" s="9">
        <f>Inputs!E7</f>
        <v/>
      </c>
      <c r="B5" s="9">
        <f>Inputs!F7</f>
        <v/>
      </c>
      <c r="C5" s="9">
        <f>Inputs!G7</f>
        <v/>
      </c>
      <c r="D5" s="10">
        <f>Inputs!H7</f>
        <v/>
      </c>
      <c r="E5" s="9">
        <f>IFERROR(XLOOKUP(B5,Inputs!$A$6:$A$10,Inputs!$B$6:$B$10,""),"")</f>
        <v/>
      </c>
      <c r="F5" s="9">
        <f>IFERROR(XLOOKUP(B5,Inputs!$A$6:$A$10,Inputs!$C$6:$C$10,""),"")</f>
        <v/>
      </c>
      <c r="G5" s="9">
        <f>IFERROR(A5&amp;"-"&amp;B5,"")</f>
        <v/>
      </c>
      <c r="H5" s="9">
        <f>IF(D5&gt;=Inputs!$B$2,"Include","Exclude")</f>
        <v/>
      </c>
      <c r="I5" s="9">
        <f>IF(COUNTIFS($B$4:B5,B5)=1,"Yes","No")</f>
        <v/>
      </c>
      <c r="J5" s="9">
        <f>IF(H5="Include",COUNTIFS($H$4:H5,"Include"),"")</f>
        <v/>
      </c>
    </row>
    <row r="6">
      <c r="A6" s="9">
        <f>Inputs!E8</f>
        <v/>
      </c>
      <c r="B6" s="9">
        <f>Inputs!F8</f>
        <v/>
      </c>
      <c r="C6" s="9">
        <f>Inputs!G8</f>
        <v/>
      </c>
      <c r="D6" s="10">
        <f>Inputs!H8</f>
        <v/>
      </c>
      <c r="E6" s="9">
        <f>IFERROR(XLOOKUP(B6,Inputs!$A$6:$A$10,Inputs!$B$6:$B$10,""),"")</f>
        <v/>
      </c>
      <c r="F6" s="9">
        <f>IFERROR(XLOOKUP(B6,Inputs!$A$6:$A$10,Inputs!$C$6:$C$10,""),"")</f>
        <v/>
      </c>
      <c r="G6" s="9">
        <f>IFERROR(A6&amp;"-"&amp;B6,"")</f>
        <v/>
      </c>
      <c r="H6" s="9">
        <f>IF(D6&gt;=Inputs!$B$2,"Include","Exclude")</f>
        <v/>
      </c>
      <c r="I6" s="9">
        <f>IF(COUNTIFS($B$4:B6,B6)=1,"Yes","No")</f>
        <v/>
      </c>
      <c r="J6" s="9">
        <f>IF(H6="Include",COUNTIFS($H$4:H6,"Include"),"")</f>
        <v/>
      </c>
    </row>
    <row r="7">
      <c r="A7" s="9">
        <f>Inputs!E9</f>
        <v/>
      </c>
      <c r="B7" s="9">
        <f>Inputs!F9</f>
        <v/>
      </c>
      <c r="C7" s="9">
        <f>Inputs!G9</f>
        <v/>
      </c>
      <c r="D7" s="10">
        <f>Inputs!H9</f>
        <v/>
      </c>
      <c r="E7" s="9">
        <f>IFERROR(XLOOKUP(B7,Inputs!$A$6:$A$10,Inputs!$B$6:$B$10,""),"")</f>
        <v/>
      </c>
      <c r="F7" s="9">
        <f>IFERROR(XLOOKUP(B7,Inputs!$A$6:$A$10,Inputs!$C$6:$C$10,""),"")</f>
        <v/>
      </c>
      <c r="G7" s="9">
        <f>IFERROR(A7&amp;"-"&amp;B7,"")</f>
        <v/>
      </c>
      <c r="H7" s="9">
        <f>IF(D7&gt;=Inputs!$B$2,"Include","Exclude")</f>
        <v/>
      </c>
      <c r="I7" s="9">
        <f>IF(COUNTIFS($B$4:B7,B7)=1,"Yes","No")</f>
        <v/>
      </c>
      <c r="J7" s="9">
        <f>IF(H7="Include",COUNTIFS($H$4:H7,"Include"),"")</f>
        <v/>
      </c>
    </row>
    <row r="8">
      <c r="A8" s="9">
        <f>Inputs!E10</f>
        <v/>
      </c>
      <c r="B8" s="9">
        <f>Inputs!F10</f>
        <v/>
      </c>
      <c r="C8" s="9">
        <f>Inputs!G10</f>
        <v/>
      </c>
      <c r="D8" s="10">
        <f>Inputs!H10</f>
        <v/>
      </c>
      <c r="E8" s="9">
        <f>IFERROR(XLOOKUP(B8,Inputs!$A$6:$A$10,Inputs!$B$6:$B$10,""),"")</f>
        <v/>
      </c>
      <c r="F8" s="9">
        <f>IFERROR(XLOOKUP(B8,Inputs!$A$6:$A$10,Inputs!$C$6:$C$10,""),"")</f>
        <v/>
      </c>
      <c r="G8" s="9">
        <f>IFERROR(A8&amp;"-"&amp;B8,"")</f>
        <v/>
      </c>
      <c r="H8" s="9">
        <f>IF(D8&gt;=Inputs!$B$2,"Include","Exclude")</f>
        <v/>
      </c>
      <c r="I8" s="9">
        <f>IF(COUNTIFS($B$4:B8,B8)=1,"Yes","No")</f>
        <v/>
      </c>
      <c r="J8" s="9">
        <f>IF(H8="Include",COUNTIFS($H$4:H8,"Include"),"")</f>
        <v/>
      </c>
    </row>
  </sheetData>
  <mergeCells count="1">
    <mergeCell ref="A1:J1"/>
  </mergeCells>
  <conditionalFormatting sqref="H4:H8">
    <cfRule type="cellIs" priority="1" operator="equal" dxfId="0">
      <formula>"Include"</formula>
    </cfRule>
    <cfRule type="cellIs" priority="2" operator="equal" dxfId="1">
      <formula>"Exclude"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18" customWidth="1" min="8" max="8"/>
    <col width="22" customWidth="1" min="9" max="9"/>
    <col width="16" customWidth="1" min="10" max="10"/>
  </cols>
  <sheetData>
    <row r="1">
      <c r="A1" s="1" t="inlineStr">
        <is>
          <t>SQL Projects Report</t>
        </is>
      </c>
    </row>
    <row r="2">
      <c r="A2" s="4" t="inlineStr">
        <is>
          <t>Customers with orders, filtered by the selected minimum order amount</t>
        </is>
      </c>
    </row>
    <row r="3"/>
    <row r="4">
      <c r="A4" s="11" t="inlineStr">
        <is>
          <t>Orders shown</t>
        </is>
      </c>
      <c r="B4" s="12">
        <f>COUNTIFS(Calcs!$H$4:$H$8,"Include")</f>
        <v/>
      </c>
      <c r="C4" s="11" t="inlineStr">
        <is>
          <t>Revenue shown</t>
        </is>
      </c>
      <c r="D4" s="12">
        <f>SUMIFS(Calcs!$D$4:$D$8,Calcs!$H$4:$H$8,"Include")</f>
        <v/>
      </c>
    </row>
    <row r="5"/>
    <row r="6">
      <c r="A6" s="11" t="inlineStr">
        <is>
          <t>Customers shown</t>
        </is>
      </c>
      <c r="B6" s="12">
        <f>COUNTIFS(Calcs!$I$4:$I$8,"Yes",Calcs!$H$4:$H$8,"Include")</f>
        <v/>
      </c>
      <c r="C6" s="11" t="inlineStr">
        <is>
          <t>Average order</t>
        </is>
      </c>
      <c r="D6" s="12">
        <f>IFERROR(D4/B4,0)</f>
        <v/>
      </c>
    </row>
    <row r="7"/>
    <row r="8">
      <c r="A8" s="11" t="inlineStr">
        <is>
          <t>Scenario minimum</t>
        </is>
      </c>
      <c r="B8" s="13">
        <f>Inputs!$B$2</f>
        <v/>
      </c>
      <c r="C8" s="4" t="inlineStr">
        <is>
          <t>Edit Inputs!B2 to switch the report scenario.</t>
        </is>
      </c>
    </row>
    <row r="9"/>
    <row r="10">
      <c r="A10" s="5" t="inlineStr">
        <is>
          <t>Customer Name</t>
        </is>
      </c>
      <c r="B10" s="5" t="inlineStr">
        <is>
          <t>City</t>
        </is>
      </c>
      <c r="C10" s="5" t="inlineStr">
        <is>
          <t>Product</t>
        </is>
      </c>
      <c r="D10" s="5" t="inlineStr">
        <is>
          <t>Order Amount</t>
        </is>
      </c>
      <c r="E10" s="5" t="inlineStr">
        <is>
          <t>Order ID</t>
        </is>
      </c>
    </row>
    <row r="11">
      <c r="A11" s="9">
        <f>IFERROR(INDEX(Calcs!$E$4:$E$8,MATCH(ROWS($A$11:A11),Calcs!$J$4:$J$8,0)),"")</f>
        <v/>
      </c>
      <c r="B11" s="9">
        <f>IFERROR(INDEX(Calcs!$F$4:$F$8,MATCH(ROWS($A$11:A11),Calcs!$J$4:$J$8,0)),"")</f>
        <v/>
      </c>
      <c r="C11" s="9">
        <f>IFERROR(INDEX(Calcs!$C$4:$C$8,MATCH(ROWS($A$11:A11),Calcs!$J$4:$J$8,0)),"")</f>
        <v/>
      </c>
      <c r="D11" s="10">
        <f>IFERROR(INDEX(Calcs!$D$4:$D$8,MATCH(ROWS($A$11:A11),Calcs!$J$4:$J$8,0)),"")</f>
        <v/>
      </c>
      <c r="E11" s="9">
        <f>IFERROR(INDEX(Calcs!$A$4:$A$8,MATCH(ROWS($A$11:A11),Calcs!$J$4:$J$8,0)),"")</f>
        <v/>
      </c>
    </row>
    <row r="12">
      <c r="A12" s="9">
        <f>IFERROR(INDEX(Calcs!$E$4:$E$8,MATCH(ROWS($A$11:A12),Calcs!$J$4:$J$8,0)),"")</f>
        <v/>
      </c>
      <c r="B12" s="9">
        <f>IFERROR(INDEX(Calcs!$F$4:$F$8,MATCH(ROWS($A$11:A12),Calcs!$J$4:$J$8,0)),"")</f>
        <v/>
      </c>
      <c r="C12" s="9">
        <f>IFERROR(INDEX(Calcs!$C$4:$C$8,MATCH(ROWS($A$11:A12),Calcs!$J$4:$J$8,0)),"")</f>
        <v/>
      </c>
      <c r="D12" s="10">
        <f>IFERROR(INDEX(Calcs!$D$4:$D$8,MATCH(ROWS($A$11:A12),Calcs!$J$4:$J$8,0)),"")</f>
        <v/>
      </c>
      <c r="E12" s="9">
        <f>IFERROR(INDEX(Calcs!$A$4:$A$8,MATCH(ROWS($A$11:A12),Calcs!$J$4:$J$8,0)),"")</f>
        <v/>
      </c>
    </row>
    <row r="13">
      <c r="A13" s="9">
        <f>IFERROR(INDEX(Calcs!$E$4:$E$8,MATCH(ROWS($A$11:A13),Calcs!$J$4:$J$8,0)),"")</f>
        <v/>
      </c>
      <c r="B13" s="9">
        <f>IFERROR(INDEX(Calcs!$F$4:$F$8,MATCH(ROWS($A$11:A13),Calcs!$J$4:$J$8,0)),"")</f>
        <v/>
      </c>
      <c r="C13" s="9">
        <f>IFERROR(INDEX(Calcs!$C$4:$C$8,MATCH(ROWS($A$11:A13),Calcs!$J$4:$J$8,0)),"")</f>
        <v/>
      </c>
      <c r="D13" s="10">
        <f>IFERROR(INDEX(Calcs!$D$4:$D$8,MATCH(ROWS($A$11:A13),Calcs!$J$4:$J$8,0)),"")</f>
        <v/>
      </c>
      <c r="E13" s="9">
        <f>IFERROR(INDEX(Calcs!$A$4:$A$8,MATCH(ROWS($A$11:A13),Calcs!$J$4:$J$8,0)),"")</f>
        <v/>
      </c>
    </row>
    <row r="14">
      <c r="A14" s="9">
        <f>IFERROR(INDEX(Calcs!$E$4:$E$8,MATCH(ROWS($A$11:A14),Calcs!$J$4:$J$8,0)),"")</f>
        <v/>
      </c>
      <c r="B14" s="9">
        <f>IFERROR(INDEX(Calcs!$F$4:$F$8,MATCH(ROWS($A$11:A14),Calcs!$J$4:$J$8,0)),"")</f>
        <v/>
      </c>
      <c r="C14" s="9">
        <f>IFERROR(INDEX(Calcs!$C$4:$C$8,MATCH(ROWS($A$11:A14),Calcs!$J$4:$J$8,0)),"")</f>
        <v/>
      </c>
      <c r="D14" s="10">
        <f>IFERROR(INDEX(Calcs!$D$4:$D$8,MATCH(ROWS($A$11:A14),Calcs!$J$4:$J$8,0)),"")</f>
        <v/>
      </c>
      <c r="E14" s="9">
        <f>IFERROR(INDEX(Calcs!$A$4:$A$8,MATCH(ROWS($A$11:A14),Calcs!$J$4:$J$8,0)),"")</f>
        <v/>
      </c>
    </row>
    <row r="15">
      <c r="A15" s="9">
        <f>IFERROR(INDEX(Calcs!$E$4:$E$8,MATCH(ROWS($A$11:A15),Calcs!$J$4:$J$8,0)),"")</f>
        <v/>
      </c>
      <c r="B15" s="9">
        <f>IFERROR(INDEX(Calcs!$F$4:$F$8,MATCH(ROWS($A$11:A15),Calcs!$J$4:$J$8,0)),"")</f>
        <v/>
      </c>
      <c r="C15" s="9">
        <f>IFERROR(INDEX(Calcs!$C$4:$C$8,MATCH(ROWS($A$11:A15),Calcs!$J$4:$J$8,0)),"")</f>
        <v/>
      </c>
      <c r="D15" s="10">
        <f>IFERROR(INDEX(Calcs!$D$4:$D$8,MATCH(ROWS($A$11:A15),Calcs!$J$4:$J$8,0)),"")</f>
        <v/>
      </c>
      <c r="E15" s="9">
        <f>IFERROR(INDEX(Calcs!$A$4:$A$8,MATCH(ROWS($A$11:A15),Calcs!$J$4:$J$8,0)),"")</f>
        <v/>
      </c>
    </row>
  </sheetData>
  <mergeCells count="3">
    <mergeCell ref="A2:E2"/>
    <mergeCell ref="A1:E1"/>
    <mergeCell ref="C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2026-09-12T09:42:59Z</dcterms:created>
  <dcterms:modified xmlns:dcterms="http://purl.org/dc/terms/" xmlns:xsi="http://www.w3.org/2001/XMLSchema-instance" xsi:type="dcterms:W3CDTF">2026-09-12T09:42:59Z</dcterms:modified>
</cp:coreProperties>
</file>